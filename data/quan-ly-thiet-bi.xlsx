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greentech-system\docs\"/>
    </mc:Choice>
  </mc:AlternateContent>
  <xr:revisionPtr revIDLastSave="0" documentId="8_{258E439A-9CC3-45C6-BEDC-35ACFB25D5B9}" xr6:coauthVersionLast="47" xr6:coauthVersionMax="47" xr10:uidLastSave="{00000000-0000-0000-0000-000000000000}"/>
  <bookViews>
    <workbookView xWindow="-110" yWindow="-110" windowWidth="25820" windowHeight="15500" activeTab="1" xr2:uid="{02495FEA-467B-4849-B457-56D420C75FF2}"/>
  </bookViews>
  <sheets>
    <sheet name="danh-muc-linh-kien" sheetId="1" r:id="rId1"/>
    <sheet name="trang-thai-tr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2" l="1"/>
  <c r="E4" i="2"/>
  <c r="E5" i="2"/>
  <c r="E2" i="2"/>
</calcChain>
</file>

<file path=xl/sharedStrings.xml><?xml version="1.0" encoding="utf-8"?>
<sst xmlns="http://schemas.openxmlformats.org/spreadsheetml/2006/main" count="36" uniqueCount="26">
  <si>
    <t>ma_linh_kien</t>
  </si>
  <si>
    <t>ten_thiet_bi</t>
  </si>
  <si>
    <t>don_gia</t>
  </si>
  <si>
    <t>loai_storage</t>
  </si>
  <si>
    <t>LK001</t>
  </si>
  <si>
    <t>LK002</t>
  </si>
  <si>
    <t>LK003</t>
  </si>
  <si>
    <t>LK004</t>
  </si>
  <si>
    <t>LK005</t>
  </si>
  <si>
    <t>SSD 512GB</t>
  </si>
  <si>
    <t>SSD 256GB</t>
  </si>
  <si>
    <t>HDD 1TB</t>
  </si>
  <si>
    <t>RAM 8GB</t>
  </si>
  <si>
    <t>CPU IoT</t>
  </si>
  <si>
    <t>SSD</t>
  </si>
  <si>
    <t>HDD</t>
  </si>
  <si>
    <t>N/A</t>
  </si>
  <si>
    <t>ma_tram</t>
  </si>
  <si>
    <t>dung_luong_ram</t>
  </si>
  <si>
    <t>ngay_lap_dat</t>
  </si>
  <si>
    <t>TR001</t>
  </si>
  <si>
    <t>8GB</t>
  </si>
  <si>
    <t>TR002</t>
  </si>
  <si>
    <t>16GB</t>
  </si>
  <si>
    <t>TR003</t>
  </si>
  <si>
    <t>TR004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</si>
</sst>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17464-55A9-4964-891D-5AC4AD940EC2}">
  <sheetPr codeName="Sheet1"/>
  <dimension ref="A1:D6"/>
  <sheetViews>
    <sheetView zoomScale="145" zoomScaleNormal="145" workbookViewId="0">
      <selection activeCell="F2" sqref="F2"/>
    </sheetView>
  </sheetViews>
  <sheetFormatPr defaultRowHeight="14.5" x14ac:dyDescent="0.35"/>
  <cols>
    <col min="1" max="1" width="11.26953125" bestFit="1" customWidth="1"/>
    <col min="2" max="2" width="10.26953125" bestFit="1" customWidth="1"/>
    <col min="3" max="3" width="7.81640625" style="1" bestFit="1" customWidth="1"/>
    <col min="4" max="4" width="10.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10</v>
      </c>
      <c r="C2" s="1">
        <v>800000</v>
      </c>
      <c r="D2" s="1" t="s">
        <v>14</v>
      </c>
    </row>
    <row r="3" spans="1:4" x14ac:dyDescent="0.35">
      <c r="A3" t="s">
        <v>5</v>
      </c>
      <c r="B3" t="s">
        <v>9</v>
      </c>
      <c r="C3" s="1">
        <v>1200000</v>
      </c>
      <c r="D3" s="1" t="s">
        <v>14</v>
      </c>
    </row>
    <row r="4" spans="1:4" x14ac:dyDescent="0.35">
      <c r="A4" t="s">
        <v>6</v>
      </c>
      <c r="B4" t="s">
        <v>11</v>
      </c>
      <c r="C4" s="1">
        <v>950000</v>
      </c>
      <c r="D4" s="1" t="s">
        <v>15</v>
      </c>
    </row>
    <row r="5" spans="1:4" x14ac:dyDescent="0.35">
      <c r="A5" t="s">
        <v>7</v>
      </c>
      <c r="B5" t="s">
        <v>12</v>
      </c>
      <c r="C5" s="1">
        <v>450000</v>
      </c>
      <c r="D5" s="1" t="s">
        <v>16</v>
      </c>
    </row>
    <row r="6" spans="1:4" x14ac:dyDescent="0.35">
      <c r="A6" t="s">
        <v>8</v>
      </c>
      <c r="B6" t="s">
        <v>13</v>
      </c>
      <c r="C6" s="1">
        <v>1500000</v>
      </c>
      <c r="D6" s="1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86812-AD56-4E4B-8EB2-CCBA41C5ABAD}">
  <sheetPr codeName="Sheet2"/>
  <dimension ref="A1:E60"/>
  <sheetViews>
    <sheetView tabSelected="1" zoomScale="160" zoomScaleNormal="160" workbookViewId="0">
      <selection activeCell="F10" sqref="F10"/>
    </sheetView>
  </sheetViews>
  <sheetFormatPr defaultRowHeight="14.5" x14ac:dyDescent="0.35"/>
  <cols>
    <col min="1" max="1" width="8" bestFit="1" customWidth="1"/>
    <col min="2" max="2" width="11.36328125" bestFit="1" customWidth="1"/>
    <col min="3" max="3" width="14.08984375" style="1" bestFit="1" customWidth="1"/>
    <col min="4" max="4" width="11.26953125" style="1" bestFit="1" customWidth="1"/>
    <col min="5" max="5" width="10.26953125" style="1" bestFit="1" customWidth="1"/>
  </cols>
  <sheetData>
    <row r="1" spans="1:5" x14ac:dyDescent="0.35">
      <c r="A1" s="1" t="s">
        <v>17</v>
      </c>
      <c r="B1" s="1" t="s">
        <v>0</v>
      </c>
      <c r="C1" s="1" t="s">
        <v>18</v>
      </c>
      <c r="D1" s="1" t="s">
        <v>19</v>
      </c>
      <c r="E1" s="1" t="s">
        <v>1</v>
      </c>
    </row>
    <row r="2" spans="1:5" x14ac:dyDescent="0.35">
      <c r="A2" t="s">
        <v>20</v>
      </c>
      <c r="B2" t="s">
        <v>4</v>
      </c>
      <c r="C2" s="1" t="s">
        <v>21</v>
      </c>
      <c r="D2" s="3">
        <v>46032</v>
      </c>
      <c r="E2" s="1" t="str">
        <f>IFERROR(VLOOKUP(TRIM(B2),'danh-muc-linh-kien'!$A$2:$D$6,2,FALSE),"Không tìm thấy mã")</f>
        <v>SSD 256GB</v>
      </c>
    </row>
    <row r="3" spans="1:5" x14ac:dyDescent="0.35">
      <c r="A3" t="s">
        <v>22</v>
      </c>
      <c r="B3" t="s">
        <v>6</v>
      </c>
      <c r="C3" s="1" t="s">
        <v>23</v>
      </c>
      <c r="D3" s="3">
        <v>46063</v>
      </c>
      <c r="E3" s="1" t="str">
        <f>IFERROR(VLOOKUP(TRIM(B3),'danh-muc-linh-kien'!$A$2:$D$6,2,FALSE),"Không tìm thấy mã")</f>
        <v>HDD 1TB</v>
      </c>
    </row>
    <row r="4" spans="1:5" x14ac:dyDescent="0.35">
      <c r="A4" t="s">
        <v>24</v>
      </c>
      <c r="B4" t="s">
        <v>7</v>
      </c>
      <c r="C4" s="1" t="s">
        <v>21</v>
      </c>
      <c r="D4" s="3">
        <v>46091</v>
      </c>
      <c r="E4" s="1" t="str">
        <f>IFERROR(VLOOKUP(TRIM(B4),'danh-muc-linh-kien'!$A$2:$D$6,2,FALSE),"Không tìm thấy mã")</f>
        <v>RAM 8GB</v>
      </c>
    </row>
    <row r="5" spans="1:5" x14ac:dyDescent="0.35">
      <c r="A5" t="s">
        <v>25</v>
      </c>
      <c r="B5" t="s">
        <v>5</v>
      </c>
      <c r="C5" s="1" t="s">
        <v>23</v>
      </c>
      <c r="D5" s="3">
        <v>46122</v>
      </c>
      <c r="E5" s="1" t="str">
        <f>IFERROR(VLOOKUP(TRIM(B5),'danh-muc-linh-kien'!$A$2:$D$6,2,FALSE),"Không tìm thấy mã")</f>
        <v>SSD 512GB</v>
      </c>
    </row>
    <row r="29" spans="1:1" x14ac:dyDescent="0.35">
      <c r="A29" s="2"/>
    </row>
    <row r="39" spans="1:1" x14ac:dyDescent="0.35">
      <c r="A39" s="2"/>
    </row>
    <row r="49" spans="1:1" x14ac:dyDescent="0.35">
      <c r="A49" s="2"/>
    </row>
    <row r="59" spans="1:1" x14ac:dyDescent="0.35">
      <c r="A59" s="2"/>
    </row>
    <row r="60" spans="1:1" x14ac:dyDescent="0.35">
      <c r="A6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Anh</dc:creator>
  <cp:lastModifiedBy>Duy Anh</cp:lastModifiedBy>
  <dcterms:created xsi:type="dcterms:W3CDTF">2026-10-27T08:03:34Z</dcterms:created>
  <dcterms:modified xsi:type="dcterms:W3CDTF">2026-10-27T08:19:09Z</dcterms:modified>
</cp:coreProperties>
</file>